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Excel Project\Sample financial modelling\"/>
    </mc:Choice>
  </mc:AlternateContent>
  <xr:revisionPtr revIDLastSave="0" documentId="13_ncr:1_{084CEE15-A7A4-43DB-82CA-194E9D193968}" xr6:coauthVersionLast="47" xr6:coauthVersionMax="47" xr10:uidLastSave="{00000000-0000-0000-0000-000000000000}"/>
  <bookViews>
    <workbookView xWindow="-110" yWindow="-110" windowWidth="19420" windowHeight="10300" xr2:uid="{FE16FD1E-72AD-4EE9-B68E-8373E1CB3DF4}"/>
  </bookViews>
  <sheets>
    <sheet name="Financial Mode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" i="2" l="1"/>
  <c r="J50" i="2"/>
  <c r="I50" i="2"/>
  <c r="H50" i="2"/>
  <c r="G50" i="2"/>
  <c r="F50" i="2"/>
  <c r="E50" i="2"/>
  <c r="K48" i="2"/>
  <c r="K22" i="2" s="1"/>
  <c r="J48" i="2"/>
  <c r="J22" i="2" s="1"/>
  <c r="I48" i="2"/>
  <c r="I22" i="2" s="1"/>
  <c r="H48" i="2"/>
  <c r="H22" i="2" s="1"/>
  <c r="G48" i="2"/>
  <c r="G22" i="2" s="1"/>
  <c r="F48" i="2"/>
  <c r="F22" i="2" s="1"/>
  <c r="E48" i="2"/>
  <c r="E22" i="2" s="1"/>
  <c r="K47" i="2"/>
  <c r="J47" i="2"/>
  <c r="J21" i="2" s="1"/>
  <c r="I47" i="2"/>
  <c r="I21" i="2" s="1"/>
  <c r="H47" i="2"/>
  <c r="H21" i="2" s="1"/>
  <c r="G47" i="2"/>
  <c r="G21" i="2" s="1"/>
  <c r="F47" i="2"/>
  <c r="F21" i="2" s="1"/>
  <c r="E47" i="2"/>
  <c r="E21" i="2" s="1"/>
  <c r="K46" i="2"/>
  <c r="K20" i="2" s="1"/>
  <c r="J46" i="2"/>
  <c r="J20" i="2" s="1"/>
  <c r="I46" i="2"/>
  <c r="I20" i="2" s="1"/>
  <c r="H46" i="2"/>
  <c r="H20" i="2" s="1"/>
  <c r="G46" i="2"/>
  <c r="G20" i="2" s="1"/>
  <c r="F46" i="2"/>
  <c r="F20" i="2" s="1"/>
  <c r="E46" i="2"/>
  <c r="E20" i="2" s="1"/>
  <c r="K45" i="2"/>
  <c r="K19" i="2" s="1"/>
  <c r="J45" i="2"/>
  <c r="J19" i="2" s="1"/>
  <c r="I45" i="2"/>
  <c r="I19" i="2" s="1"/>
  <c r="H45" i="2"/>
  <c r="H19" i="2" s="1"/>
  <c r="G45" i="2"/>
  <c r="G19" i="2" s="1"/>
  <c r="F45" i="2"/>
  <c r="F19" i="2" s="1"/>
  <c r="E45" i="2"/>
  <c r="E19" i="2" s="1"/>
  <c r="K42" i="2"/>
  <c r="J42" i="2"/>
  <c r="I42" i="2"/>
  <c r="H42" i="2"/>
  <c r="G42" i="2"/>
  <c r="F42" i="2"/>
  <c r="E42" i="2"/>
  <c r="K41" i="2"/>
  <c r="J41" i="2"/>
  <c r="I41" i="2"/>
  <c r="H41" i="2"/>
  <c r="G41" i="2"/>
  <c r="F41" i="2"/>
  <c r="E41" i="2"/>
  <c r="K38" i="2"/>
  <c r="J38" i="2"/>
  <c r="I38" i="2"/>
  <c r="H38" i="2"/>
  <c r="G38" i="2"/>
  <c r="F38" i="2"/>
  <c r="E38" i="2"/>
  <c r="K37" i="2"/>
  <c r="J37" i="2"/>
  <c r="I37" i="2"/>
  <c r="H37" i="2"/>
  <c r="G37" i="2"/>
  <c r="F37" i="2"/>
  <c r="E37" i="2"/>
  <c r="I36" i="2"/>
  <c r="E36" i="2"/>
  <c r="F74" i="2"/>
  <c r="G74" i="2" s="1"/>
  <c r="H74" i="2" s="1"/>
  <c r="I74" i="2" s="1"/>
  <c r="J74" i="2" s="1"/>
  <c r="K74" i="2" s="1"/>
  <c r="K36" i="2" s="1"/>
  <c r="F55" i="2"/>
  <c r="G55" i="2" s="1"/>
  <c r="H55" i="2" s="1"/>
  <c r="I55" i="2" s="1"/>
  <c r="J55" i="2" s="1"/>
  <c r="K55" i="2" s="1"/>
  <c r="K21" i="2"/>
  <c r="E8" i="2" l="1"/>
  <c r="F36" i="2"/>
  <c r="J36" i="2"/>
  <c r="G36" i="2"/>
  <c r="E12" i="2"/>
  <c r="H36" i="2"/>
  <c r="F24" i="2"/>
  <c r="H24" i="2"/>
  <c r="J24" i="2"/>
  <c r="G24" i="2"/>
  <c r="K24" i="2"/>
  <c r="E24" i="2"/>
  <c r="I24" i="2"/>
  <c r="E11" i="2"/>
  <c r="F8" i="2"/>
  <c r="F5" i="2"/>
  <c r="G5" i="2" s="1"/>
  <c r="H5" i="2" s="1"/>
  <c r="I5" i="2" s="1"/>
  <c r="J5" i="2" s="1"/>
  <c r="K5" i="2" s="1"/>
  <c r="E13" i="2" l="1"/>
  <c r="E15" i="2" s="1"/>
  <c r="F11" i="2"/>
  <c r="F12" i="2"/>
  <c r="E26" i="2" l="1"/>
  <c r="E27" i="2" s="1"/>
  <c r="E16" i="2"/>
  <c r="F13" i="2"/>
  <c r="F15" i="2" s="1"/>
  <c r="G11" i="2"/>
  <c r="G12" i="2"/>
  <c r="G8" i="2"/>
  <c r="G13" i="2" l="1"/>
  <c r="G15" i="2" s="1"/>
  <c r="E29" i="2"/>
  <c r="E31" i="2" s="1"/>
  <c r="F26" i="2"/>
  <c r="F16" i="2"/>
  <c r="H11" i="2"/>
  <c r="H12" i="2"/>
  <c r="H8" i="2"/>
  <c r="H13" i="2" l="1"/>
  <c r="H15" i="2" s="1"/>
  <c r="G16" i="2"/>
  <c r="G26" i="2"/>
  <c r="I11" i="2"/>
  <c r="I12" i="2"/>
  <c r="I8" i="2"/>
  <c r="F27" i="2"/>
  <c r="F29" i="2"/>
  <c r="F31" i="2" s="1"/>
  <c r="I13" i="2" l="1"/>
  <c r="I15" i="2" s="1"/>
  <c r="I26" i="2" s="1"/>
  <c r="H16" i="2"/>
  <c r="H26" i="2"/>
  <c r="J12" i="2"/>
  <c r="J11" i="2"/>
  <c r="J8" i="2"/>
  <c r="G27" i="2"/>
  <c r="G29" i="2"/>
  <c r="G31" i="2" s="1"/>
  <c r="I16" i="2" l="1"/>
  <c r="J13" i="2"/>
  <c r="J15" i="2" s="1"/>
  <c r="I29" i="2"/>
  <c r="I31" i="2" s="1"/>
  <c r="I27" i="2"/>
  <c r="K11" i="2"/>
  <c r="K12" i="2"/>
  <c r="K8" i="2"/>
  <c r="H29" i="2"/>
  <c r="H31" i="2" s="1"/>
  <c r="H27" i="2"/>
  <c r="J16" i="2" l="1"/>
  <c r="J26" i="2"/>
  <c r="J27" i="2" s="1"/>
  <c r="K13" i="2"/>
  <c r="K15" i="2" s="1"/>
  <c r="J29" i="2" l="1"/>
  <c r="J31" i="2" s="1"/>
  <c r="K16" i="2"/>
  <c r="K26" i="2"/>
  <c r="K27" i="2" l="1"/>
  <c r="K29" i="2"/>
  <c r="K31" i="2" s="1"/>
</calcChain>
</file>

<file path=xl/sharedStrings.xml><?xml version="1.0" encoding="utf-8"?>
<sst xmlns="http://schemas.openxmlformats.org/spreadsheetml/2006/main" count="122" uniqueCount="51">
  <si>
    <t>(\_/)</t>
  </si>
  <si>
    <t>(^_^)</t>
  </si>
  <si>
    <t>/&gt; 👕</t>
  </si>
  <si>
    <t>INR (Crores)</t>
  </si>
  <si>
    <t>-</t>
  </si>
  <si>
    <t>COGS</t>
  </si>
  <si>
    <t>Income Statement</t>
  </si>
  <si>
    <t>Year 1</t>
  </si>
  <si>
    <t>Year 2</t>
  </si>
  <si>
    <t>Year 3</t>
  </si>
  <si>
    <t>Year 4</t>
  </si>
  <si>
    <t>Year 5</t>
  </si>
  <si>
    <t>Revenue</t>
  </si>
  <si>
    <t>Gross Profit</t>
  </si>
  <si>
    <t>Taxes</t>
  </si>
  <si>
    <t>Total COGS</t>
  </si>
  <si>
    <t>SAMPLE GARMENTS PVT LTD</t>
  </si>
  <si>
    <t>Year 6</t>
  </si>
  <si>
    <t>Year 7</t>
  </si>
  <si>
    <t xml:space="preserve">  Manufacturing</t>
  </si>
  <si>
    <t xml:space="preserve">  Order Fulfilment</t>
  </si>
  <si>
    <t>Gross Profit % Revenue</t>
  </si>
  <si>
    <t xml:space="preserve">  Warehouse Rent</t>
  </si>
  <si>
    <t xml:space="preserve">  Salaries &amp; Payroll</t>
  </si>
  <si>
    <t xml:space="preserve">  Marketing Cost</t>
  </si>
  <si>
    <t>Total Operating Expenses</t>
  </si>
  <si>
    <t>Operating Profit</t>
  </si>
  <si>
    <t>Operating Profit % Revenue</t>
  </si>
  <si>
    <t xml:space="preserve">  Other</t>
  </si>
  <si>
    <t>Profit / (loss)</t>
  </si>
  <si>
    <t xml:space="preserve">  No. of Orders</t>
  </si>
  <si>
    <t xml:space="preserve">  Order Growth rate</t>
  </si>
  <si>
    <t xml:space="preserve">  Averagfe Order Value</t>
  </si>
  <si>
    <t>COGS (Per Order)</t>
  </si>
  <si>
    <t xml:space="preserve">  Order Fulfillment</t>
  </si>
  <si>
    <t>Operating Expenses</t>
  </si>
  <si>
    <t xml:space="preserve">  Marketing</t>
  </si>
  <si>
    <t xml:space="preserve">Taxes </t>
  </si>
  <si>
    <t>#</t>
  </si>
  <si>
    <t>%</t>
  </si>
  <si>
    <t>₹</t>
  </si>
  <si>
    <t>Live  Case</t>
  </si>
  <si>
    <t>Upper Case (Scenario 1)</t>
  </si>
  <si>
    <t>Lower Case (Scenario 2)</t>
  </si>
  <si>
    <t>SCENARIO</t>
  </si>
  <si>
    <t>Revenue (Sales)</t>
  </si>
  <si>
    <t xml:space="preserve">Blue Numbers Represent </t>
  </si>
  <si>
    <t xml:space="preserve">Black Number Represent </t>
  </si>
  <si>
    <t>Formulas</t>
  </si>
  <si>
    <t>Hard Coded</t>
  </si>
  <si>
    <t>NOTE: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</si>
</sst>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11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Calibri"/>
      <family val="2"/>
    </font>
    <font>
      <sz val="12"/>
      <color theme="0"/>
      <name val="Calibri"/>
      <family val="2"/>
    </font>
    <font>
      <b/>
      <sz val="12"/>
      <color theme="1"/>
      <name val="Calibri"/>
      <family val="2"/>
    </font>
    <font>
      <sz val="11"/>
      <color rgb="FF0000FF"/>
      <name val="Calibri"/>
      <family val="2"/>
    </font>
    <font>
      <i/>
      <sz val="11"/>
      <color theme="1"/>
      <name val="Calibri"/>
      <family val="2"/>
    </font>
    <font>
      <b/>
      <sz val="16"/>
      <color theme="0"/>
      <name val="Calibri"/>
      <family val="2"/>
    </font>
    <font>
      <sz val="24"/>
      <color theme="1"/>
      <name val="Calibri"/>
      <family val="2"/>
    </font>
    <font>
      <b/>
      <sz val="10"/>
      <color rgb="FF474747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2" borderId="0" xfId="0" applyFill="1"/>
    <xf numFmtId="10" fontId="0" fillId="0" borderId="0" xfId="0" applyNumberFormat="1"/>
    <xf numFmtId="0" fontId="0" fillId="0" borderId="0" xfId="0" applyAlignment="1">
      <alignment horizontal="right"/>
    </xf>
    <xf numFmtId="0" fontId="0" fillId="4" borderId="0" xfId="0" applyFill="1"/>
    <xf numFmtId="0" fontId="4" fillId="3" borderId="0" xfId="0" applyFont="1" applyFill="1" applyAlignment="1">
      <alignment horizontal="left"/>
    </xf>
    <xf numFmtId="0" fontId="5" fillId="4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/>
    </xf>
    <xf numFmtId="164" fontId="0" fillId="0" borderId="0" xfId="0" applyNumberFormat="1"/>
    <xf numFmtId="0" fontId="6" fillId="0" borderId="0" xfId="0" applyFont="1"/>
    <xf numFmtId="4" fontId="0" fillId="0" borderId="0" xfId="0" applyNumberFormat="1"/>
    <xf numFmtId="164" fontId="6" fillId="0" borderId="0" xfId="0" applyNumberFormat="1" applyFont="1"/>
    <xf numFmtId="0" fontId="3" fillId="2" borderId="0" xfId="0" applyFont="1" applyFill="1"/>
    <xf numFmtId="0" fontId="2" fillId="0" borderId="0" xfId="0" applyFont="1"/>
    <xf numFmtId="0" fontId="7" fillId="0" borderId="0" xfId="0" applyFont="1"/>
    <xf numFmtId="0" fontId="2" fillId="0" borderId="1" xfId="0" applyFont="1" applyBorder="1"/>
    <xf numFmtId="0" fontId="2" fillId="0" borderId="2" xfId="0" applyFont="1" applyBorder="1"/>
    <xf numFmtId="0" fontId="0" fillId="5" borderId="0" xfId="0" applyFill="1"/>
    <xf numFmtId="0" fontId="2" fillId="5" borderId="0" xfId="0" applyFont="1" applyFill="1"/>
    <xf numFmtId="9" fontId="6" fillId="0" borderId="0" xfId="1" applyFont="1"/>
    <xf numFmtId="164" fontId="2" fillId="0" borderId="0" xfId="0" applyNumberFormat="1" applyFont="1"/>
    <xf numFmtId="9" fontId="0" fillId="0" borderId="0" xfId="1" applyFont="1"/>
    <xf numFmtId="10" fontId="0" fillId="0" borderId="0" xfId="1" applyNumberFormat="1" applyFont="1"/>
    <xf numFmtId="164" fontId="2" fillId="0" borderId="1" xfId="0" applyNumberFormat="1" applyFont="1" applyBorder="1"/>
    <xf numFmtId="0" fontId="10" fillId="0" borderId="0" xfId="0" applyFont="1" applyAlignment="1">
      <alignment horizontal="right"/>
    </xf>
    <xf numFmtId="0" fontId="0" fillId="0" borderId="1" xfId="0" applyBorder="1"/>
    <xf numFmtId="0" fontId="10" fillId="0" borderId="2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4" fontId="0" fillId="0" borderId="0" xfId="0" applyNumberFormat="1" applyAlignment="1">
      <alignment horizontal="right"/>
    </xf>
    <xf numFmtId="0" fontId="2" fillId="6" borderId="2" xfId="0" applyFont="1" applyFill="1" applyBorder="1"/>
    <xf numFmtId="0" fontId="0" fillId="6" borderId="2" xfId="0" applyFill="1" applyBorder="1"/>
    <xf numFmtId="4" fontId="0" fillId="6" borderId="2" xfId="0" applyNumberFormat="1" applyFill="1" applyBorder="1"/>
    <xf numFmtId="164" fontId="2" fillId="0" borderId="2" xfId="0" applyNumberFormat="1" applyFont="1" applyBorder="1"/>
    <xf numFmtId="164" fontId="0" fillId="0" borderId="1" xfId="0" applyNumberFormat="1" applyBorder="1"/>
    <xf numFmtId="0" fontId="6" fillId="0" borderId="3" xfId="0" applyFont="1" applyBorder="1"/>
    <xf numFmtId="0" fontId="0" fillId="0" borderId="3" xfId="0" applyBorder="1"/>
    <xf numFmtId="0" fontId="2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5" fillId="0" borderId="0" xfId="0" applyFont="1" applyAlignment="1">
      <alignment horizontal="left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00F2-4EBA-40BA-81DE-104AA8EC33C6}">
  <dimension ref="B2:R88"/>
  <sheetViews>
    <sheetView showGridLines="0" tabSelected="1" zoomScale="65" zoomScaleNormal="65" workbookViewId="0">
      <selection activeCell="N21" sqref="N21"/>
    </sheetView>
  </sheetViews>
  <sheetFormatPr defaultRowHeight="14.5" x14ac:dyDescent="0.35"/>
  <cols>
    <col min="1" max="1" width="5.6328125" customWidth="1"/>
    <col min="3" max="3" width="15" customWidth="1"/>
    <col min="4" max="4" width="2.54296875" bestFit="1" customWidth="1"/>
    <col min="5" max="11" width="15.6328125" customWidth="1"/>
    <col min="13" max="13" width="10.6328125" customWidth="1"/>
    <col min="14" max="14" width="15.453125" customWidth="1"/>
    <col min="15" max="15" width="12.81640625" customWidth="1"/>
  </cols>
  <sheetData>
    <row r="2" spans="2:18" x14ac:dyDescent="0.35">
      <c r="B2" s="36" t="s">
        <v>0</v>
      </c>
    </row>
    <row r="3" spans="2:18" ht="14.5" customHeight="1" x14ac:dyDescent="0.35">
      <c r="B3" s="36" t="s">
        <v>1</v>
      </c>
      <c r="C3" s="39" t="s">
        <v>16</v>
      </c>
      <c r="D3" s="39"/>
      <c r="E3" s="39"/>
      <c r="F3" s="39"/>
      <c r="G3" s="39"/>
      <c r="H3" s="39"/>
      <c r="I3" s="39"/>
      <c r="J3" s="39"/>
      <c r="K3" s="39"/>
    </row>
    <row r="4" spans="2:18" ht="14.5" customHeight="1" x14ac:dyDescent="0.35">
      <c r="B4" s="36" t="s">
        <v>2</v>
      </c>
      <c r="C4" s="39"/>
      <c r="D4" s="39"/>
      <c r="E4" s="39"/>
      <c r="F4" s="39"/>
      <c r="G4" s="39"/>
      <c r="H4" s="39"/>
      <c r="I4" s="39"/>
      <c r="J4" s="39"/>
      <c r="K4" s="39"/>
    </row>
    <row r="5" spans="2:18" ht="18.5" customHeight="1" x14ac:dyDescent="0.45">
      <c r="B5" s="1"/>
      <c r="C5" s="1"/>
      <c r="D5" s="1"/>
      <c r="E5" s="12">
        <v>2024</v>
      </c>
      <c r="F5" s="12">
        <f>E5+1</f>
        <v>2025</v>
      </c>
      <c r="G5" s="12">
        <f t="shared" ref="G5:K5" si="0">F5+1</f>
        <v>2026</v>
      </c>
      <c r="H5" s="12">
        <f t="shared" si="0"/>
        <v>2027</v>
      </c>
      <c r="I5" s="12">
        <f t="shared" si="0"/>
        <v>2028</v>
      </c>
      <c r="J5" s="12">
        <f t="shared" si="0"/>
        <v>2029</v>
      </c>
      <c r="K5" s="12">
        <f t="shared" si="0"/>
        <v>2030</v>
      </c>
      <c r="M5" s="37" t="s">
        <v>44</v>
      </c>
      <c r="N5" s="37"/>
      <c r="O5" s="38">
        <v>1</v>
      </c>
      <c r="Q5" s="10"/>
      <c r="R5" s="10"/>
    </row>
    <row r="6" spans="2:18" ht="15.5" customHeight="1" x14ac:dyDescent="0.35">
      <c r="B6" s="5" t="s">
        <v>3</v>
      </c>
      <c r="C6" s="5"/>
      <c r="D6" s="5"/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17</v>
      </c>
      <c r="K6" s="7" t="s">
        <v>18</v>
      </c>
      <c r="M6" s="37"/>
      <c r="N6" s="37"/>
      <c r="O6" s="38"/>
      <c r="Q6" s="3"/>
      <c r="R6" s="2"/>
    </row>
    <row r="7" spans="2:18" ht="15.5" x14ac:dyDescent="0.35">
      <c r="B7" s="6" t="s">
        <v>6</v>
      </c>
      <c r="C7" s="4"/>
      <c r="D7" s="4"/>
      <c r="E7" s="4"/>
      <c r="F7" s="4"/>
      <c r="G7" s="4"/>
      <c r="H7" s="4"/>
      <c r="I7" s="4"/>
      <c r="J7" s="4"/>
      <c r="K7" s="4"/>
      <c r="Q7" s="10"/>
      <c r="R7" s="10"/>
    </row>
    <row r="8" spans="2:18" ht="15.5" x14ac:dyDescent="0.35">
      <c r="B8" s="13" t="s">
        <v>45</v>
      </c>
      <c r="C8" s="13"/>
      <c r="D8" s="24" t="s">
        <v>40</v>
      </c>
      <c r="E8" s="20">
        <f>IFERROR(E36*E38,0)</f>
        <v>227500</v>
      </c>
      <c r="F8" s="20">
        <f t="shared" ref="F8:K8" si="1">IFERROR(F36*F38,0)</f>
        <v>455000</v>
      </c>
      <c r="G8" s="20">
        <f t="shared" si="1"/>
        <v>796250</v>
      </c>
      <c r="H8" s="20">
        <f t="shared" si="1"/>
        <v>1194375</v>
      </c>
      <c r="I8" s="20">
        <f t="shared" si="1"/>
        <v>1612406.25</v>
      </c>
      <c r="J8" s="20">
        <f t="shared" si="1"/>
        <v>2015507.8125</v>
      </c>
      <c r="K8" s="20">
        <f t="shared" si="1"/>
        <v>2317833.9843749995</v>
      </c>
      <c r="M8" s="40" t="s">
        <v>50</v>
      </c>
      <c r="N8" s="40"/>
      <c r="O8" s="40"/>
      <c r="Q8" s="2"/>
      <c r="R8" s="2"/>
    </row>
    <row r="9" spans="2:18" x14ac:dyDescent="0.35">
      <c r="M9" s="34" t="s">
        <v>46</v>
      </c>
      <c r="N9" s="34"/>
      <c r="O9" s="35" t="s">
        <v>49</v>
      </c>
    </row>
    <row r="10" spans="2:18" x14ac:dyDescent="0.35">
      <c r="B10" t="s">
        <v>5</v>
      </c>
      <c r="M10" s="35" t="s">
        <v>47</v>
      </c>
      <c r="N10" s="35"/>
      <c r="O10" s="35" t="s">
        <v>48</v>
      </c>
      <c r="Q10" s="10"/>
    </row>
    <row r="11" spans="2:18" x14ac:dyDescent="0.35">
      <c r="B11" t="s">
        <v>19</v>
      </c>
      <c r="D11" s="24" t="s">
        <v>40</v>
      </c>
      <c r="E11" s="8">
        <f>IFERROR(E$36*E41,0)</f>
        <v>39000</v>
      </c>
      <c r="F11" s="8">
        <f>IFERROR(F$36*F41,0)</f>
        <v>78000</v>
      </c>
      <c r="G11" s="8">
        <f t="shared" ref="G11:K11" si="2">IFERROR(G$36*G41,0)</f>
        <v>136500</v>
      </c>
      <c r="H11" s="8">
        <f t="shared" si="2"/>
        <v>204750</v>
      </c>
      <c r="I11" s="8">
        <f t="shared" si="2"/>
        <v>276412.5</v>
      </c>
      <c r="J11" s="8">
        <f t="shared" si="2"/>
        <v>345515.625</v>
      </c>
      <c r="K11" s="8">
        <f t="shared" si="2"/>
        <v>397342.96874999994</v>
      </c>
      <c r="Q11" s="2"/>
      <c r="R11" s="2"/>
    </row>
    <row r="12" spans="2:18" x14ac:dyDescent="0.35">
      <c r="B12" t="s">
        <v>20</v>
      </c>
      <c r="D12" s="24" t="s">
        <v>40</v>
      </c>
      <c r="E12" s="8">
        <f>IFERROR(E$36*E42,0)</f>
        <v>12500</v>
      </c>
      <c r="F12" s="8">
        <f>IFERROR(F$36*F42,0)</f>
        <v>25000</v>
      </c>
      <c r="G12" s="8">
        <f>IFERROR(G$36*G42,0)</f>
        <v>43750</v>
      </c>
      <c r="H12" s="8">
        <f t="shared" ref="H12:J12" si="3">IFERROR(H$36*H42,0)</f>
        <v>65625</v>
      </c>
      <c r="I12" s="8">
        <f t="shared" si="3"/>
        <v>88593.75</v>
      </c>
      <c r="J12" s="8">
        <f t="shared" si="3"/>
        <v>110742.1875</v>
      </c>
      <c r="K12" s="8">
        <f>IFERROR(K$36*K42,0)</f>
        <v>127353.51562499999</v>
      </c>
      <c r="Q12" s="2"/>
      <c r="R12" s="2"/>
    </row>
    <row r="13" spans="2:18" x14ac:dyDescent="0.35">
      <c r="B13" s="25" t="s">
        <v>15</v>
      </c>
      <c r="C13" s="25"/>
      <c r="D13" s="25"/>
      <c r="E13" s="33">
        <f>IFERROR(SUM(E11:E12),0)</f>
        <v>51500</v>
      </c>
      <c r="F13" s="33">
        <f t="shared" ref="F13:K13" si="4">IFERROR(SUM(F11:F12),0)</f>
        <v>103000</v>
      </c>
      <c r="G13" s="33">
        <f t="shared" si="4"/>
        <v>180250</v>
      </c>
      <c r="H13" s="33">
        <f t="shared" si="4"/>
        <v>270375</v>
      </c>
      <c r="I13" s="33">
        <f t="shared" si="4"/>
        <v>365006.25</v>
      </c>
      <c r="J13" s="33">
        <f t="shared" si="4"/>
        <v>456257.8125</v>
      </c>
      <c r="K13" s="33">
        <f t="shared" si="4"/>
        <v>524696.48437499988</v>
      </c>
      <c r="Q13" s="2"/>
      <c r="R13" s="2"/>
    </row>
    <row r="15" spans="2:18" x14ac:dyDescent="0.35">
      <c r="B15" s="16" t="s">
        <v>13</v>
      </c>
      <c r="C15" s="16"/>
      <c r="D15" s="26" t="s">
        <v>40</v>
      </c>
      <c r="E15" s="32">
        <f>IFERROR(E8-E13,0)</f>
        <v>176000</v>
      </c>
      <c r="F15" s="32">
        <f t="shared" ref="F15:K15" si="5">IFERROR(F8-F13,0)</f>
        <v>352000</v>
      </c>
      <c r="G15" s="32">
        <f t="shared" si="5"/>
        <v>616000</v>
      </c>
      <c r="H15" s="32">
        <f t="shared" si="5"/>
        <v>924000</v>
      </c>
      <c r="I15" s="32">
        <f t="shared" si="5"/>
        <v>1247400</v>
      </c>
      <c r="J15" s="32">
        <f t="shared" si="5"/>
        <v>1559250</v>
      </c>
      <c r="K15" s="32">
        <f t="shared" si="5"/>
        <v>1793137.4999999995</v>
      </c>
    </row>
    <row r="16" spans="2:18" x14ac:dyDescent="0.35">
      <c r="B16" s="14" t="s">
        <v>21</v>
      </c>
      <c r="D16" s="24" t="s">
        <v>39</v>
      </c>
      <c r="E16" s="22">
        <f>E15/E8</f>
        <v>0.77362637362637365</v>
      </c>
      <c r="F16" s="22">
        <f t="shared" ref="F16:K16" si="6">F15/F8</f>
        <v>0.77362637362637365</v>
      </c>
      <c r="G16" s="22">
        <f t="shared" si="6"/>
        <v>0.77362637362637365</v>
      </c>
      <c r="H16" s="22">
        <f t="shared" si="6"/>
        <v>0.77362637362637365</v>
      </c>
      <c r="I16" s="22">
        <f t="shared" si="6"/>
        <v>0.77362637362637365</v>
      </c>
      <c r="J16" s="22">
        <f t="shared" si="6"/>
        <v>0.77362637362637365</v>
      </c>
      <c r="K16" s="22">
        <f t="shared" si="6"/>
        <v>0.77362637362637354</v>
      </c>
      <c r="Q16" s="2"/>
      <c r="R16" s="2"/>
    </row>
    <row r="17" spans="2:18" x14ac:dyDescent="0.35">
      <c r="Q17" s="10"/>
      <c r="R17" s="10"/>
    </row>
    <row r="18" spans="2:18" x14ac:dyDescent="0.35">
      <c r="B18" s="13" t="s">
        <v>35</v>
      </c>
      <c r="Q18" s="2"/>
      <c r="R18" s="2"/>
    </row>
    <row r="19" spans="2:18" x14ac:dyDescent="0.35">
      <c r="B19" t="s">
        <v>22</v>
      </c>
      <c r="D19" s="24" t="s">
        <v>40</v>
      </c>
      <c r="E19" s="8">
        <f>IFERROR(E45,0)</f>
        <v>23000</v>
      </c>
      <c r="F19" s="8">
        <f t="shared" ref="F19:K19" si="7">IFERROR(F45,0)</f>
        <v>23000</v>
      </c>
      <c r="G19" s="8">
        <f t="shared" si="7"/>
        <v>23000</v>
      </c>
      <c r="H19" s="8">
        <f t="shared" si="7"/>
        <v>30000</v>
      </c>
      <c r="I19" s="8">
        <f t="shared" si="7"/>
        <v>30000</v>
      </c>
      <c r="J19" s="8">
        <f t="shared" si="7"/>
        <v>30000</v>
      </c>
      <c r="K19" s="8">
        <f t="shared" si="7"/>
        <v>30000</v>
      </c>
    </row>
    <row r="20" spans="2:18" x14ac:dyDescent="0.35">
      <c r="B20" t="s">
        <v>23</v>
      </c>
      <c r="D20" s="24" t="s">
        <v>40</v>
      </c>
      <c r="E20" s="8">
        <f t="shared" ref="E20:K20" si="8">IFERROR(E46,0)</f>
        <v>70000</v>
      </c>
      <c r="F20" s="8">
        <f t="shared" si="8"/>
        <v>70000</v>
      </c>
      <c r="G20" s="8">
        <f t="shared" si="8"/>
        <v>70000</v>
      </c>
      <c r="H20" s="8">
        <f t="shared" si="8"/>
        <v>140000</v>
      </c>
      <c r="I20" s="8">
        <f t="shared" si="8"/>
        <v>140000</v>
      </c>
      <c r="J20" s="8">
        <f t="shared" si="8"/>
        <v>140000</v>
      </c>
      <c r="K20" s="8">
        <f t="shared" si="8"/>
        <v>140000</v>
      </c>
    </row>
    <row r="21" spans="2:18" x14ac:dyDescent="0.35">
      <c r="B21" t="s">
        <v>24</v>
      </c>
      <c r="D21" s="24" t="s">
        <v>40</v>
      </c>
      <c r="E21" s="8">
        <f t="shared" ref="E21:K21" si="9">IFERROR(E47,0)</f>
        <v>30000</v>
      </c>
      <c r="F21" s="8">
        <f t="shared" si="9"/>
        <v>30000</v>
      </c>
      <c r="G21" s="8">
        <f t="shared" si="9"/>
        <v>30000</v>
      </c>
      <c r="H21" s="8">
        <f t="shared" si="9"/>
        <v>40000</v>
      </c>
      <c r="I21" s="8">
        <f t="shared" si="9"/>
        <v>40000</v>
      </c>
      <c r="J21" s="8">
        <f t="shared" si="9"/>
        <v>45000</v>
      </c>
      <c r="K21" s="8">
        <f t="shared" si="9"/>
        <v>45000</v>
      </c>
    </row>
    <row r="22" spans="2:18" x14ac:dyDescent="0.35">
      <c r="B22" t="s">
        <v>28</v>
      </c>
      <c r="D22" s="24" t="s">
        <v>40</v>
      </c>
      <c r="E22" s="8">
        <f t="shared" ref="E22:K22" si="10">IFERROR(E48,0)</f>
        <v>8000</v>
      </c>
      <c r="F22" s="8">
        <f t="shared" si="10"/>
        <v>8000</v>
      </c>
      <c r="G22" s="8">
        <f t="shared" si="10"/>
        <v>8000</v>
      </c>
      <c r="H22" s="8">
        <f t="shared" si="10"/>
        <v>8000</v>
      </c>
      <c r="I22" s="8">
        <f t="shared" si="10"/>
        <v>8000</v>
      </c>
      <c r="J22" s="8">
        <f t="shared" si="10"/>
        <v>8000</v>
      </c>
      <c r="K22" s="8">
        <f t="shared" si="10"/>
        <v>8000</v>
      </c>
      <c r="Q22" s="2"/>
      <c r="R22" s="2"/>
    </row>
    <row r="24" spans="2:18" x14ac:dyDescent="0.35">
      <c r="B24" s="15" t="s">
        <v>25</v>
      </c>
      <c r="C24" s="15"/>
      <c r="D24" s="27" t="s">
        <v>40</v>
      </c>
      <c r="E24" s="23">
        <f>IFERROR(SUM(E19:E22),0)</f>
        <v>131000</v>
      </c>
      <c r="F24" s="23">
        <f t="shared" ref="F24:K24" si="11">IFERROR(SUM(F19:F22),0)</f>
        <v>131000</v>
      </c>
      <c r="G24" s="23">
        <f t="shared" si="11"/>
        <v>131000</v>
      </c>
      <c r="H24" s="23">
        <f t="shared" si="11"/>
        <v>218000</v>
      </c>
      <c r="I24" s="23">
        <f t="shared" si="11"/>
        <v>218000</v>
      </c>
      <c r="J24" s="23">
        <f t="shared" si="11"/>
        <v>223000</v>
      </c>
      <c r="K24" s="23">
        <f t="shared" si="11"/>
        <v>223000</v>
      </c>
      <c r="R24" s="10"/>
    </row>
    <row r="25" spans="2:18" x14ac:dyDescent="0.35">
      <c r="Q25" s="2"/>
      <c r="R25" s="2"/>
    </row>
    <row r="26" spans="2:18" x14ac:dyDescent="0.35">
      <c r="B26" s="16" t="s">
        <v>26</v>
      </c>
      <c r="C26" s="16"/>
      <c r="D26" s="26" t="s">
        <v>40</v>
      </c>
      <c r="E26" s="32">
        <f>E15-E24</f>
        <v>45000</v>
      </c>
      <c r="F26" s="32">
        <f t="shared" ref="F26:K26" si="12">F15-F24</f>
        <v>221000</v>
      </c>
      <c r="G26" s="32">
        <f t="shared" si="12"/>
        <v>485000</v>
      </c>
      <c r="H26" s="32">
        <f t="shared" si="12"/>
        <v>706000</v>
      </c>
      <c r="I26" s="32">
        <f t="shared" si="12"/>
        <v>1029400</v>
      </c>
      <c r="J26" s="32">
        <f t="shared" si="12"/>
        <v>1336250</v>
      </c>
      <c r="K26" s="32">
        <f t="shared" si="12"/>
        <v>1570137.4999999995</v>
      </c>
    </row>
    <row r="27" spans="2:18" x14ac:dyDescent="0.35">
      <c r="B27" s="14" t="s">
        <v>27</v>
      </c>
      <c r="D27" s="3" t="s">
        <v>39</v>
      </c>
      <c r="E27" s="22">
        <f>E26/E8</f>
        <v>0.19780219780219779</v>
      </c>
      <c r="F27" s="22">
        <f t="shared" ref="F27:K27" si="13">F26/F8</f>
        <v>0.48571428571428571</v>
      </c>
      <c r="G27" s="22">
        <f t="shared" si="13"/>
        <v>0.60910518053375196</v>
      </c>
      <c r="H27" s="22">
        <f t="shared" si="13"/>
        <v>0.59110413396127681</v>
      </c>
      <c r="I27" s="22">
        <f t="shared" si="13"/>
        <v>0.63842471461519079</v>
      </c>
      <c r="J27" s="22">
        <f t="shared" si="13"/>
        <v>0.66298428203190107</v>
      </c>
      <c r="K27" s="22">
        <f t="shared" si="13"/>
        <v>0.67741585919639746</v>
      </c>
      <c r="Q27" s="2"/>
      <c r="R27" s="2"/>
    </row>
    <row r="29" spans="2:18" x14ac:dyDescent="0.35">
      <c r="B29" t="s">
        <v>14</v>
      </c>
      <c r="E29" s="28">
        <f t="shared" ref="E29:K29" si="14">IF(E26&lt;0,"NA",E26*E50)</f>
        <v>11250</v>
      </c>
      <c r="F29" s="28">
        <f t="shared" si="14"/>
        <v>55250</v>
      </c>
      <c r="G29" s="28">
        <f t="shared" si="14"/>
        <v>121250</v>
      </c>
      <c r="H29" s="28">
        <f t="shared" si="14"/>
        <v>176500</v>
      </c>
      <c r="I29" s="28">
        <f t="shared" si="14"/>
        <v>257350</v>
      </c>
      <c r="J29" s="28">
        <f t="shared" si="14"/>
        <v>334062.5</v>
      </c>
      <c r="K29" s="28">
        <f t="shared" si="14"/>
        <v>392534.37499999988</v>
      </c>
      <c r="R29" s="10"/>
    </row>
    <row r="30" spans="2:18" x14ac:dyDescent="0.35">
      <c r="E30" s="28"/>
      <c r="F30" s="28"/>
      <c r="G30" s="28"/>
      <c r="H30" s="28"/>
      <c r="I30" s="28"/>
      <c r="J30" s="28"/>
      <c r="K30" s="28"/>
      <c r="R30" s="10"/>
    </row>
    <row r="31" spans="2:18" x14ac:dyDescent="0.35">
      <c r="B31" s="29" t="s">
        <v>29</v>
      </c>
      <c r="C31" s="30"/>
      <c r="D31" s="30"/>
      <c r="E31" s="31">
        <f t="shared" ref="E31:K31" si="15">IFERROR(E26-E29,0)</f>
        <v>33750</v>
      </c>
      <c r="F31" s="31">
        <f t="shared" si="15"/>
        <v>165750</v>
      </c>
      <c r="G31" s="31">
        <f t="shared" si="15"/>
        <v>363750</v>
      </c>
      <c r="H31" s="31">
        <f t="shared" si="15"/>
        <v>529500</v>
      </c>
      <c r="I31" s="31">
        <f t="shared" si="15"/>
        <v>772050</v>
      </c>
      <c r="J31" s="31">
        <f t="shared" si="15"/>
        <v>1002187.5</v>
      </c>
      <c r="K31" s="31">
        <f t="shared" si="15"/>
        <v>1177603.1249999995</v>
      </c>
    </row>
    <row r="32" spans="2:18" x14ac:dyDescent="0.35">
      <c r="Q32" s="2"/>
      <c r="R32" s="2"/>
    </row>
    <row r="33" spans="2:16" x14ac:dyDescent="0.35">
      <c r="O33" s="2"/>
      <c r="P33" s="2"/>
    </row>
    <row r="34" spans="2:16" x14ac:dyDescent="0.35">
      <c r="B34" s="18" t="s">
        <v>41</v>
      </c>
      <c r="C34" s="17"/>
      <c r="D34" s="17"/>
      <c r="E34" s="17"/>
      <c r="F34" s="17"/>
      <c r="G34" s="17"/>
      <c r="H34" s="17"/>
      <c r="I34" s="17"/>
      <c r="J34" s="17"/>
      <c r="K34" s="17"/>
    </row>
    <row r="35" spans="2:16" x14ac:dyDescent="0.35">
      <c r="B35" s="13" t="s">
        <v>12</v>
      </c>
    </row>
    <row r="36" spans="2:16" x14ac:dyDescent="0.35">
      <c r="B36" t="s">
        <v>30</v>
      </c>
      <c r="D36" s="3" t="s">
        <v>38</v>
      </c>
      <c r="E36" s="8">
        <f>CHOOSE($O$5,E55,E74)</f>
        <v>5000</v>
      </c>
      <c r="F36" s="8">
        <f t="shared" ref="F36:K36" si="16">CHOOSE($O$5,F55,F74)</f>
        <v>10000</v>
      </c>
      <c r="G36" s="8">
        <f t="shared" si="16"/>
        <v>17500</v>
      </c>
      <c r="H36" s="8">
        <f t="shared" si="16"/>
        <v>26250</v>
      </c>
      <c r="I36" s="8">
        <f t="shared" si="16"/>
        <v>35437.5</v>
      </c>
      <c r="J36" s="8">
        <f t="shared" si="16"/>
        <v>44296.875</v>
      </c>
      <c r="K36" s="8">
        <f t="shared" si="16"/>
        <v>50941.406249999993</v>
      </c>
    </row>
    <row r="37" spans="2:16" x14ac:dyDescent="0.35">
      <c r="B37" t="s">
        <v>31</v>
      </c>
      <c r="D37" s="3" t="s">
        <v>39</v>
      </c>
      <c r="E37" s="3" t="str">
        <f t="shared" ref="E37:K37" si="17">CHOOSE($O$5,E56,E75)</f>
        <v>-</v>
      </c>
      <c r="F37" s="21">
        <f t="shared" si="17"/>
        <v>1</v>
      </c>
      <c r="G37" s="21">
        <f t="shared" si="17"/>
        <v>0.75</v>
      </c>
      <c r="H37" s="21">
        <f t="shared" si="17"/>
        <v>0.5</v>
      </c>
      <c r="I37" s="21">
        <f t="shared" si="17"/>
        <v>0.35</v>
      </c>
      <c r="J37" s="21">
        <f t="shared" si="17"/>
        <v>0.25</v>
      </c>
      <c r="K37" s="21">
        <f t="shared" si="17"/>
        <v>0.15</v>
      </c>
    </row>
    <row r="38" spans="2:16" x14ac:dyDescent="0.35">
      <c r="B38" t="s">
        <v>32</v>
      </c>
      <c r="D38" s="24" t="s">
        <v>40</v>
      </c>
      <c r="E38">
        <f t="shared" ref="E38:K38" si="18">CHOOSE($O$5,E57,E76)</f>
        <v>45.5</v>
      </c>
      <c r="F38">
        <f t="shared" si="18"/>
        <v>45.5</v>
      </c>
      <c r="G38">
        <f t="shared" si="18"/>
        <v>45.5</v>
      </c>
      <c r="H38">
        <f t="shared" si="18"/>
        <v>45.5</v>
      </c>
      <c r="I38">
        <f t="shared" si="18"/>
        <v>45.5</v>
      </c>
      <c r="J38">
        <f t="shared" si="18"/>
        <v>45.5</v>
      </c>
      <c r="K38">
        <f t="shared" si="18"/>
        <v>45.5</v>
      </c>
    </row>
    <row r="40" spans="2:16" x14ac:dyDescent="0.35">
      <c r="B40" s="13" t="s">
        <v>33</v>
      </c>
    </row>
    <row r="41" spans="2:16" x14ac:dyDescent="0.35">
      <c r="B41" t="s">
        <v>19</v>
      </c>
      <c r="D41" s="24" t="s">
        <v>40</v>
      </c>
      <c r="E41">
        <f t="shared" ref="E41:K41" si="19">CHOOSE($O$5,E60,E79)</f>
        <v>7.8</v>
      </c>
      <c r="F41">
        <f t="shared" si="19"/>
        <v>7.8</v>
      </c>
      <c r="G41">
        <f t="shared" si="19"/>
        <v>7.8</v>
      </c>
      <c r="H41">
        <f t="shared" si="19"/>
        <v>7.8</v>
      </c>
      <c r="I41">
        <f t="shared" si="19"/>
        <v>7.8</v>
      </c>
      <c r="J41">
        <f t="shared" si="19"/>
        <v>7.8</v>
      </c>
      <c r="K41">
        <f t="shared" si="19"/>
        <v>7.8</v>
      </c>
    </row>
    <row r="42" spans="2:16" x14ac:dyDescent="0.35">
      <c r="B42" t="s">
        <v>34</v>
      </c>
      <c r="D42" s="24" t="s">
        <v>40</v>
      </c>
      <c r="E42">
        <f t="shared" ref="E42:K42" si="20">CHOOSE($O$5,E61,E80)</f>
        <v>2.5</v>
      </c>
      <c r="F42">
        <f t="shared" si="20"/>
        <v>2.5</v>
      </c>
      <c r="G42">
        <f t="shared" si="20"/>
        <v>2.5</v>
      </c>
      <c r="H42">
        <f t="shared" si="20"/>
        <v>2.5</v>
      </c>
      <c r="I42">
        <f t="shared" si="20"/>
        <v>2.5</v>
      </c>
      <c r="J42">
        <f t="shared" si="20"/>
        <v>2.5</v>
      </c>
      <c r="K42">
        <f t="shared" si="20"/>
        <v>2.5</v>
      </c>
    </row>
    <row r="44" spans="2:16" x14ac:dyDescent="0.35">
      <c r="B44" s="13" t="s">
        <v>35</v>
      </c>
    </row>
    <row r="45" spans="2:16" x14ac:dyDescent="0.35">
      <c r="B45" t="s">
        <v>22</v>
      </c>
      <c r="D45" s="24" t="s">
        <v>40</v>
      </c>
      <c r="E45" s="8">
        <f t="shared" ref="E45:K45" si="21">CHOOSE($O$5,E64,E83)</f>
        <v>23000</v>
      </c>
      <c r="F45" s="8">
        <f t="shared" si="21"/>
        <v>23000</v>
      </c>
      <c r="G45" s="8">
        <f t="shared" si="21"/>
        <v>23000</v>
      </c>
      <c r="H45" s="8">
        <f t="shared" si="21"/>
        <v>30000</v>
      </c>
      <c r="I45" s="8">
        <f t="shared" si="21"/>
        <v>30000</v>
      </c>
      <c r="J45" s="8">
        <f t="shared" si="21"/>
        <v>30000</v>
      </c>
      <c r="K45" s="8">
        <f t="shared" si="21"/>
        <v>30000</v>
      </c>
    </row>
    <row r="46" spans="2:16" x14ac:dyDescent="0.35">
      <c r="B46" t="s">
        <v>23</v>
      </c>
      <c r="D46" s="24" t="s">
        <v>40</v>
      </c>
      <c r="E46" s="8">
        <f t="shared" ref="E46:K46" si="22">CHOOSE($O$5,E65,E84)</f>
        <v>70000</v>
      </c>
      <c r="F46" s="8">
        <f t="shared" si="22"/>
        <v>70000</v>
      </c>
      <c r="G46" s="8">
        <f t="shared" si="22"/>
        <v>70000</v>
      </c>
      <c r="H46" s="8">
        <f t="shared" si="22"/>
        <v>140000</v>
      </c>
      <c r="I46" s="8">
        <f t="shared" si="22"/>
        <v>140000</v>
      </c>
      <c r="J46" s="8">
        <f t="shared" si="22"/>
        <v>140000</v>
      </c>
      <c r="K46" s="8">
        <f t="shared" si="22"/>
        <v>140000</v>
      </c>
    </row>
    <row r="47" spans="2:16" x14ac:dyDescent="0.35">
      <c r="B47" t="s">
        <v>36</v>
      </c>
      <c r="D47" s="24" t="s">
        <v>40</v>
      </c>
      <c r="E47" s="8">
        <f t="shared" ref="E47:K47" si="23">CHOOSE($O$5,E66,E85)</f>
        <v>30000</v>
      </c>
      <c r="F47" s="8">
        <f t="shared" si="23"/>
        <v>30000</v>
      </c>
      <c r="G47" s="8">
        <f t="shared" si="23"/>
        <v>30000</v>
      </c>
      <c r="H47" s="8">
        <f t="shared" si="23"/>
        <v>40000</v>
      </c>
      <c r="I47" s="8">
        <f t="shared" si="23"/>
        <v>40000</v>
      </c>
      <c r="J47" s="8">
        <f t="shared" si="23"/>
        <v>45000</v>
      </c>
      <c r="K47" s="8">
        <f t="shared" si="23"/>
        <v>45000</v>
      </c>
    </row>
    <row r="48" spans="2:16" x14ac:dyDescent="0.35">
      <c r="B48" t="s">
        <v>28</v>
      </c>
      <c r="D48" s="24" t="s">
        <v>40</v>
      </c>
      <c r="E48" s="8">
        <f t="shared" ref="E48:K48" si="24">CHOOSE($O$5,E67,E86)</f>
        <v>8000</v>
      </c>
      <c r="F48" s="8">
        <f t="shared" si="24"/>
        <v>8000</v>
      </c>
      <c r="G48" s="8">
        <f t="shared" si="24"/>
        <v>8000</v>
      </c>
      <c r="H48" s="8">
        <f t="shared" si="24"/>
        <v>8000</v>
      </c>
      <c r="I48" s="8">
        <f t="shared" si="24"/>
        <v>8000</v>
      </c>
      <c r="J48" s="8">
        <f t="shared" si="24"/>
        <v>8000</v>
      </c>
      <c r="K48" s="8">
        <f t="shared" si="24"/>
        <v>8000</v>
      </c>
    </row>
    <row r="50" spans="2:11" x14ac:dyDescent="0.35">
      <c r="B50" s="13" t="s">
        <v>37</v>
      </c>
      <c r="D50" s="24" t="s">
        <v>39</v>
      </c>
      <c r="E50" s="21">
        <f t="shared" ref="E50:K50" si="25">CHOOSE($O$5,E69,E88)</f>
        <v>0.25</v>
      </c>
      <c r="F50" s="21">
        <f t="shared" si="25"/>
        <v>0.25</v>
      </c>
      <c r="G50" s="21">
        <f t="shared" si="25"/>
        <v>0.25</v>
      </c>
      <c r="H50" s="21">
        <f t="shared" si="25"/>
        <v>0.25</v>
      </c>
      <c r="I50" s="21">
        <f t="shared" si="25"/>
        <v>0.25</v>
      </c>
      <c r="J50" s="21">
        <f t="shared" si="25"/>
        <v>0.25</v>
      </c>
      <c r="K50" s="21">
        <f t="shared" si="25"/>
        <v>0.25</v>
      </c>
    </row>
    <row r="53" spans="2:11" x14ac:dyDescent="0.35">
      <c r="B53" s="18" t="s">
        <v>42</v>
      </c>
      <c r="C53" s="17"/>
      <c r="D53" s="17"/>
      <c r="E53" s="17"/>
      <c r="F53" s="17"/>
      <c r="G53" s="17"/>
      <c r="H53" s="17"/>
      <c r="I53" s="17"/>
      <c r="J53" s="17"/>
      <c r="K53" s="17"/>
    </row>
    <row r="54" spans="2:11" x14ac:dyDescent="0.35">
      <c r="B54" s="13" t="s">
        <v>12</v>
      </c>
    </row>
    <row r="55" spans="2:11" x14ac:dyDescent="0.35">
      <c r="B55" t="s">
        <v>30</v>
      </c>
      <c r="D55" s="3" t="s">
        <v>38</v>
      </c>
      <c r="E55" s="11">
        <v>5000</v>
      </c>
      <c r="F55" s="8">
        <f>IFERROR(E55*(1+F56),0)</f>
        <v>10000</v>
      </c>
      <c r="G55" s="8">
        <f t="shared" ref="G55" si="26">IFERROR(F55*(1+G56),0)</f>
        <v>17500</v>
      </c>
      <c r="H55" s="8">
        <f t="shared" ref="H55" si="27">IFERROR(G55*(1+H56),0)</f>
        <v>26250</v>
      </c>
      <c r="I55" s="8">
        <f t="shared" ref="I55" si="28">IFERROR(H55*(1+I56),0)</f>
        <v>35437.5</v>
      </c>
      <c r="J55" s="8">
        <f t="shared" ref="J55" si="29">IFERROR(I55*(1+J56),0)</f>
        <v>44296.875</v>
      </c>
      <c r="K55" s="8">
        <f t="shared" ref="K55" si="30">IFERROR(J55*(1+K56),0)</f>
        <v>50941.406249999993</v>
      </c>
    </row>
    <row r="56" spans="2:11" x14ac:dyDescent="0.35">
      <c r="B56" t="s">
        <v>31</v>
      </c>
      <c r="D56" s="3" t="s">
        <v>39</v>
      </c>
      <c r="E56" s="3" t="s">
        <v>4</v>
      </c>
      <c r="F56" s="19">
        <v>1</v>
      </c>
      <c r="G56" s="19">
        <v>0.75</v>
      </c>
      <c r="H56" s="19">
        <v>0.5</v>
      </c>
      <c r="I56" s="19">
        <v>0.35</v>
      </c>
      <c r="J56" s="19">
        <v>0.25</v>
      </c>
      <c r="K56" s="19">
        <v>0.15</v>
      </c>
    </row>
    <row r="57" spans="2:11" x14ac:dyDescent="0.35">
      <c r="B57" t="s">
        <v>32</v>
      </c>
      <c r="D57" s="24" t="s">
        <v>40</v>
      </c>
      <c r="E57" s="9">
        <v>45.5</v>
      </c>
      <c r="F57" s="9">
        <v>45.5</v>
      </c>
      <c r="G57" s="9">
        <v>45.5</v>
      </c>
      <c r="H57" s="9">
        <v>45.5</v>
      </c>
      <c r="I57" s="9">
        <v>45.5</v>
      </c>
      <c r="J57" s="9">
        <v>45.5</v>
      </c>
      <c r="K57" s="9">
        <v>45.5</v>
      </c>
    </row>
    <row r="59" spans="2:11" x14ac:dyDescent="0.35">
      <c r="B59" s="13" t="s">
        <v>33</v>
      </c>
    </row>
    <row r="60" spans="2:11" x14ac:dyDescent="0.35">
      <c r="B60" t="s">
        <v>19</v>
      </c>
      <c r="D60" s="24" t="s">
        <v>40</v>
      </c>
      <c r="E60" s="9">
        <v>7.8</v>
      </c>
      <c r="F60" s="9">
        <v>7.8</v>
      </c>
      <c r="G60" s="9">
        <v>7.8</v>
      </c>
      <c r="H60" s="9">
        <v>7.8</v>
      </c>
      <c r="I60" s="9">
        <v>7.8</v>
      </c>
      <c r="J60" s="9">
        <v>7.8</v>
      </c>
      <c r="K60" s="9">
        <v>7.8</v>
      </c>
    </row>
    <row r="61" spans="2:11" x14ac:dyDescent="0.35">
      <c r="B61" t="s">
        <v>34</v>
      </c>
      <c r="D61" s="24" t="s">
        <v>40</v>
      </c>
      <c r="E61" s="9">
        <v>2.5</v>
      </c>
      <c r="F61" s="9">
        <v>2.5</v>
      </c>
      <c r="G61" s="9">
        <v>2.5</v>
      </c>
      <c r="H61" s="9">
        <v>2.5</v>
      </c>
      <c r="I61" s="9">
        <v>2.5</v>
      </c>
      <c r="J61" s="9">
        <v>2.5</v>
      </c>
      <c r="K61" s="9">
        <v>2.5</v>
      </c>
    </row>
    <row r="63" spans="2:11" x14ac:dyDescent="0.35">
      <c r="B63" s="13" t="s">
        <v>35</v>
      </c>
    </row>
    <row r="64" spans="2:11" x14ac:dyDescent="0.35">
      <c r="B64" t="s">
        <v>22</v>
      </c>
      <c r="D64" s="24" t="s">
        <v>40</v>
      </c>
      <c r="E64" s="11">
        <v>23000</v>
      </c>
      <c r="F64" s="11">
        <v>23000</v>
      </c>
      <c r="G64" s="11">
        <v>23000</v>
      </c>
      <c r="H64" s="11">
        <v>30000</v>
      </c>
      <c r="I64" s="11">
        <v>30000</v>
      </c>
      <c r="J64" s="11">
        <v>30000</v>
      </c>
      <c r="K64" s="11">
        <v>30000</v>
      </c>
    </row>
    <row r="65" spans="2:11" x14ac:dyDescent="0.35">
      <c r="B65" t="s">
        <v>23</v>
      </c>
      <c r="D65" s="24" t="s">
        <v>40</v>
      </c>
      <c r="E65" s="11">
        <v>70000</v>
      </c>
      <c r="F65" s="11">
        <v>70000</v>
      </c>
      <c r="G65" s="11">
        <v>70000</v>
      </c>
      <c r="H65" s="11">
        <v>140000</v>
      </c>
      <c r="I65" s="11">
        <v>140000</v>
      </c>
      <c r="J65" s="11">
        <v>140000</v>
      </c>
      <c r="K65" s="11">
        <v>140000</v>
      </c>
    </row>
    <row r="66" spans="2:11" x14ac:dyDescent="0.35">
      <c r="B66" t="s">
        <v>36</v>
      </c>
      <c r="D66" s="24" t="s">
        <v>40</v>
      </c>
      <c r="E66" s="11">
        <v>30000</v>
      </c>
      <c r="F66" s="11">
        <v>30000</v>
      </c>
      <c r="G66" s="11">
        <v>30000</v>
      </c>
      <c r="H66" s="11">
        <v>40000</v>
      </c>
      <c r="I66" s="11">
        <v>40000</v>
      </c>
      <c r="J66" s="11">
        <v>45000</v>
      </c>
      <c r="K66" s="11">
        <v>45000</v>
      </c>
    </row>
    <row r="67" spans="2:11" x14ac:dyDescent="0.35">
      <c r="B67" t="s">
        <v>28</v>
      </c>
      <c r="D67" s="24" t="s">
        <v>40</v>
      </c>
      <c r="E67" s="11">
        <v>8000</v>
      </c>
      <c r="F67" s="11">
        <v>8000</v>
      </c>
      <c r="G67" s="11">
        <v>8000</v>
      </c>
      <c r="H67" s="11">
        <v>8000</v>
      </c>
      <c r="I67" s="11">
        <v>8000</v>
      </c>
      <c r="J67" s="11">
        <v>8000</v>
      </c>
      <c r="K67" s="11">
        <v>8000</v>
      </c>
    </row>
    <row r="69" spans="2:11" x14ac:dyDescent="0.35">
      <c r="B69" s="13" t="s">
        <v>37</v>
      </c>
      <c r="D69" s="24" t="s">
        <v>39</v>
      </c>
      <c r="E69" s="19">
        <v>0.25</v>
      </c>
      <c r="F69" s="19">
        <v>0.25</v>
      </c>
      <c r="G69" s="19">
        <v>0.25</v>
      </c>
      <c r="H69" s="19">
        <v>0.25</v>
      </c>
      <c r="I69" s="19">
        <v>0.25</v>
      </c>
      <c r="J69" s="19">
        <v>0.25</v>
      </c>
      <c r="K69" s="19">
        <v>0.25</v>
      </c>
    </row>
    <row r="72" spans="2:11" x14ac:dyDescent="0.35">
      <c r="B72" s="18" t="s">
        <v>43</v>
      </c>
      <c r="C72" s="17"/>
      <c r="D72" s="17"/>
      <c r="E72" s="17"/>
      <c r="F72" s="17"/>
      <c r="G72" s="17"/>
      <c r="H72" s="17"/>
      <c r="I72" s="17"/>
      <c r="J72" s="17"/>
      <c r="K72" s="17"/>
    </row>
    <row r="73" spans="2:11" x14ac:dyDescent="0.35">
      <c r="B73" s="13" t="s">
        <v>12</v>
      </c>
    </row>
    <row r="74" spans="2:11" x14ac:dyDescent="0.35">
      <c r="B74" t="s">
        <v>30</v>
      </c>
      <c r="D74" s="3" t="s">
        <v>38</v>
      </c>
      <c r="E74" s="11">
        <v>1000</v>
      </c>
      <c r="F74" s="8">
        <f>IFERROR(E74*(1+F75),0)</f>
        <v>2000</v>
      </c>
      <c r="G74" s="8">
        <f t="shared" ref="G74" si="31">IFERROR(F74*(1+G75),0)</f>
        <v>3500</v>
      </c>
      <c r="H74" s="8">
        <f t="shared" ref="H74" si="32">IFERROR(G74*(1+H75),0)</f>
        <v>5250</v>
      </c>
      <c r="I74" s="8">
        <f t="shared" ref="I74" si="33">IFERROR(H74*(1+I75),0)</f>
        <v>7087.5000000000009</v>
      </c>
      <c r="J74" s="8">
        <f t="shared" ref="J74" si="34">IFERROR(I74*(1+J75),0)</f>
        <v>8859.3750000000018</v>
      </c>
      <c r="K74" s="8">
        <f t="shared" ref="K74" si="35">IFERROR(J74*(1+K75),0)</f>
        <v>10188.281250000002</v>
      </c>
    </row>
    <row r="75" spans="2:11" x14ac:dyDescent="0.35">
      <c r="B75" t="s">
        <v>31</v>
      </c>
      <c r="D75" s="3" t="s">
        <v>39</v>
      </c>
      <c r="E75" s="3" t="s">
        <v>4</v>
      </c>
      <c r="F75" s="19">
        <v>1</v>
      </c>
      <c r="G75" s="19">
        <v>0.75</v>
      </c>
      <c r="H75" s="19">
        <v>0.5</v>
      </c>
      <c r="I75" s="19">
        <v>0.35</v>
      </c>
      <c r="J75" s="19">
        <v>0.25</v>
      </c>
      <c r="K75" s="19">
        <v>0.15</v>
      </c>
    </row>
    <row r="76" spans="2:11" x14ac:dyDescent="0.35">
      <c r="B76" t="s">
        <v>32</v>
      </c>
      <c r="D76" s="24" t="s">
        <v>40</v>
      </c>
      <c r="E76" s="9">
        <v>40.5</v>
      </c>
      <c r="F76" s="9">
        <v>40.5</v>
      </c>
      <c r="G76" s="9">
        <v>40.5</v>
      </c>
      <c r="H76" s="9">
        <v>40.5</v>
      </c>
      <c r="I76" s="9">
        <v>40.5</v>
      </c>
      <c r="J76" s="9">
        <v>40.5</v>
      </c>
      <c r="K76" s="9">
        <v>40.5</v>
      </c>
    </row>
    <row r="78" spans="2:11" x14ac:dyDescent="0.35">
      <c r="B78" s="13" t="s">
        <v>33</v>
      </c>
    </row>
    <row r="79" spans="2:11" x14ac:dyDescent="0.35">
      <c r="B79" t="s">
        <v>19</v>
      </c>
      <c r="D79" s="24" t="s">
        <v>40</v>
      </c>
      <c r="E79" s="9">
        <v>9</v>
      </c>
      <c r="F79" s="9">
        <v>9</v>
      </c>
      <c r="G79" s="9">
        <v>9</v>
      </c>
      <c r="H79" s="9">
        <v>9</v>
      </c>
      <c r="I79" s="9">
        <v>9</v>
      </c>
      <c r="J79" s="9">
        <v>9</v>
      </c>
      <c r="K79" s="9">
        <v>9</v>
      </c>
    </row>
    <row r="80" spans="2:11" x14ac:dyDescent="0.35">
      <c r="B80" t="s">
        <v>34</v>
      </c>
      <c r="D80" s="24" t="s">
        <v>40</v>
      </c>
      <c r="E80" s="9">
        <v>2.5</v>
      </c>
      <c r="F80" s="9">
        <v>2.5</v>
      </c>
      <c r="G80" s="9">
        <v>2.5</v>
      </c>
      <c r="H80" s="9">
        <v>2.5</v>
      </c>
      <c r="I80" s="9">
        <v>2.5</v>
      </c>
      <c r="J80" s="9">
        <v>2.5</v>
      </c>
      <c r="K80" s="9">
        <v>2.5</v>
      </c>
    </row>
    <row r="82" spans="2:11" x14ac:dyDescent="0.35">
      <c r="B82" s="13" t="s">
        <v>35</v>
      </c>
    </row>
    <row r="83" spans="2:11" x14ac:dyDescent="0.35">
      <c r="B83" t="s">
        <v>22</v>
      </c>
      <c r="D83" s="24" t="s">
        <v>40</v>
      </c>
      <c r="E83" s="11">
        <v>23000</v>
      </c>
      <c r="F83" s="11">
        <v>23000</v>
      </c>
      <c r="G83" s="11">
        <v>23000</v>
      </c>
      <c r="H83" s="11">
        <v>30000</v>
      </c>
      <c r="I83" s="11">
        <v>30000</v>
      </c>
      <c r="J83" s="11">
        <v>30000</v>
      </c>
      <c r="K83" s="11">
        <v>30000</v>
      </c>
    </row>
    <row r="84" spans="2:11" x14ac:dyDescent="0.35">
      <c r="B84" t="s">
        <v>23</v>
      </c>
      <c r="D84" s="24" t="s">
        <v>40</v>
      </c>
      <c r="E84" s="11">
        <v>70000</v>
      </c>
      <c r="F84" s="11">
        <v>70000</v>
      </c>
      <c r="G84" s="11">
        <v>70000</v>
      </c>
      <c r="H84" s="11">
        <v>140000</v>
      </c>
      <c r="I84" s="11">
        <v>140000</v>
      </c>
      <c r="J84" s="11">
        <v>140000</v>
      </c>
      <c r="K84" s="11">
        <v>140000</v>
      </c>
    </row>
    <row r="85" spans="2:11" x14ac:dyDescent="0.35">
      <c r="B85" t="s">
        <v>36</v>
      </c>
      <c r="D85" s="24" t="s">
        <v>40</v>
      </c>
      <c r="E85" s="11">
        <v>30000</v>
      </c>
      <c r="F85" s="11">
        <v>30000</v>
      </c>
      <c r="G85" s="11">
        <v>30000</v>
      </c>
      <c r="H85" s="11">
        <v>40000</v>
      </c>
      <c r="I85" s="11">
        <v>40000</v>
      </c>
      <c r="J85" s="11">
        <v>45000</v>
      </c>
      <c r="K85" s="11">
        <v>45000</v>
      </c>
    </row>
    <row r="86" spans="2:11" x14ac:dyDescent="0.35">
      <c r="B86" t="s">
        <v>28</v>
      </c>
      <c r="D86" s="24" t="s">
        <v>40</v>
      </c>
      <c r="E86" s="11">
        <v>8000</v>
      </c>
      <c r="F86" s="11">
        <v>8000</v>
      </c>
      <c r="G86" s="11">
        <v>8000</v>
      </c>
      <c r="H86" s="11">
        <v>8000</v>
      </c>
      <c r="I86" s="11">
        <v>8000</v>
      </c>
      <c r="J86" s="11">
        <v>8000</v>
      </c>
      <c r="K86" s="11">
        <v>8000</v>
      </c>
    </row>
    <row r="88" spans="2:11" x14ac:dyDescent="0.35">
      <c r="B88" s="13" t="s">
        <v>37</v>
      </c>
      <c r="D88" s="24" t="s">
        <v>39</v>
      </c>
      <c r="E88" s="19">
        <v>0.3</v>
      </c>
      <c r="F88" s="19">
        <v>0.3</v>
      </c>
      <c r="G88" s="19">
        <v>0.3</v>
      </c>
      <c r="H88" s="19">
        <v>0.3</v>
      </c>
      <c r="I88" s="19">
        <v>0.3</v>
      </c>
      <c r="J88" s="19">
        <v>0.3</v>
      </c>
      <c r="K88" s="19">
        <v>0.3</v>
      </c>
    </row>
  </sheetData>
  <mergeCells count="4">
    <mergeCell ref="M5:N6"/>
    <mergeCell ref="O5:O6"/>
    <mergeCell ref="C3:K4"/>
    <mergeCell ref="M8:O8"/>
  </mergeCells>
  <dataValidations count="1">
    <dataValidation type="list" allowBlank="1" showInputMessage="1" showErrorMessage="1" sqref="O5" xr:uid="{9BCAE5D8-32CD-4858-9358-46256D242937}">
      <formula1>"1,2"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RIYASHAD</dc:creator>
  <cp:lastModifiedBy>MOHAMMED RIYASHAD</cp:lastModifiedBy>
  <dcterms:created xsi:type="dcterms:W3CDTF">2026-01-09T17:09:56Z</dcterms:created>
  <dcterms:modified xsi:type="dcterms:W3CDTF">2026-01-11T18:27:07Z</dcterms:modified>
</cp:coreProperties>
</file>